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worksheets/sheet8.xml" ContentType="application/vnd.openxmlformats-officedocument.spreadsheetml.worksheet+xml"/>
  <Override PartName="/xl/comments8.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000f9c3718e24081" /></Relationships>
</file>

<file path=xl/workbook.xml><?xml version="1.0" encoding="utf-8"?>
<x:workbook xmlns:x="http://schemas.openxmlformats.org/spreadsheetml/2006/main">
  <x:sheets>
    <x:sheet xmlns:r="http://schemas.openxmlformats.org/officeDocument/2006/relationships" name="G1" sheetId="1" r:id="Rb1709624145c41a0"/>
    <x:sheet xmlns:r="http://schemas.openxmlformats.org/officeDocument/2006/relationships" name="G2" sheetId="2" r:id="R19f0cf4cb2d54d88"/>
    <x:sheet xmlns:r="http://schemas.openxmlformats.org/officeDocument/2006/relationships" name="G3" sheetId="3" r:id="R9e269e5e48b94965"/>
    <x:sheet xmlns:r="http://schemas.openxmlformats.org/officeDocument/2006/relationships" name="G4" sheetId="4" r:id="Rd14f63a16a62463d"/>
    <x:sheet xmlns:r="http://schemas.openxmlformats.org/officeDocument/2006/relationships" name="G5" sheetId="5" r:id="R76bac42879224d3d"/>
    <x:sheet xmlns:r="http://schemas.openxmlformats.org/officeDocument/2006/relationships" name="G6" sheetId="6" r:id="Red2a5bed4e954d3d"/>
    <x:sheet xmlns:r="http://schemas.openxmlformats.org/officeDocument/2006/relationships" name="G7" sheetId="7" r:id="R8004b796624f4fdd"/>
    <x:sheet xmlns:r="http://schemas.openxmlformats.org/officeDocument/2006/relationships" name="G8" sheetId="8" r:id="Rf9c576d8788e4562"/>
  </x:sheets>
</x:workbook>
</file>

<file path=xl/comments1.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2.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3.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4.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5.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6.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7.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comments8.xml><?xml version="1.0" encoding="utf-8"?>
<x:comments xmlns:x="http://schemas.openxmlformats.org/spreadsheetml/2006/main">
  <x:authors>
    <x:author/>
  </x:authors>
  <x:commentList>
    <x:comment ref="B12" authorId="0">
      <x:text>
        <x:r>
          <x:t>Điểm cao khi: Báo cáo tách bạch trung thực phần đã chạy và phần còn kế hoạch; sơ đồ khớp với mã nguồn; có trace thật của một task; có bảng công cụ kèm mức quyền và cơ chế chặn; bộ nhớ và truy xuất có chính sách rõ ràng; phần không áp dụng được giải thích thuyết phục.</x:t>
        </x:r>
      </x:text>
    </x:comment>
    <x:comment ref="B13" authorId="0">
      <x:text>
        <x:r>
          <x:t>Điểm cao khi: Ít nhất 5–10 task đã chạy; cách chấm đúng/sai được định nghĩa; có so sánh với một cấu hình đơn giản hơn; có chi phí và độ trễ; các thất bại được diễn giải; số liệu tái lập được từ repository bằng một lệnh.</x:t>
        </x:r>
      </x:text>
    </x:comment>
    <x:comment ref="B14" authorId="0">
      <x:text>
        <x:r>
          <x:t>Điểm cao khi: Có threat model (cập nhật từ proposal, hoặc bản đầu tiên nếu proposal chưa có) với tài sản, điểm vào và năng lực kẻ tấn công cụ thể cho chính hệ thống này. Mỗi điểm vào có biện pháp giảm thiểu dự kiến.</x:t>
        </x:r>
      </x:text>
    </x:comment>
    <x:comment ref="B15" authorId="0">
      <x:text>
        <x:r>
          <x:t>Điểm cao khi: Bảng đối chiếu với cam kết trong proposal đầy đủ; thay đổi phạm vi có lý do; góp ý ở buổi pitch đã được xử lý; các mục còn thiếu của proposal đã được bổ sung; kế hoạch theo tuần khả thi; có phạm vi thu hẹp.</x:t>
        </x:r>
      </x:text>
    </x:comment>
    <x:comment ref="B16" authorId="0">
      <x:text>
        <x:r>
          <x:t>Điểm cao khi: Tối đa 10 trang nội dung (không tính trang bìa/tiêu đề, mục lục, tài liệu tham khảo và phụ lục), đủ tám phần, nhận định khớp với bằng chứng, có đường dẫn repository và commit hash, có bảng đóng góp và AI-use statement.</x:t>
        </x:r>
      </x:text>
    </x:comment>
    <x:comment ref="B18" authorId="0">
      <x:text>
        <x:r>
          <x:t>Điểm cao khi: Hệ thống hoàn thành ít nhất một task từ đầu đến cuối trên dữ liệu của đề tài, ngay tại lớp; những gì demo cho thấy khớp với báo cáo; nếu có sự cố, video dự phòng sẵn sàng và nhóm giải thích được trace. Demo chỉ bằng video khi không có sự cố thì không đạt khung Rất tốt.</x:t>
        </x:r>
      </x:text>
    </x:comment>
    <x:comment ref="B19" authorId="0">
      <x:text>
        <x:r>
          <x:t>Điểm cao khi: Đúng 10 phút; nêu rõ thay đổi so với proposal, kiến trúc đang chạy, số liệu đầu tiên và chi phí, threat model, kế hoạch và rủi ro; nói đúng mức độ hoàn thành, không nói quá.</x:t>
        </x:r>
      </x:text>
    </x:comment>
    <x:comment ref="B20" authorId="0">
      <x:text>
        <x:r>
          <x:t>Điểm cao khi: Trả lời chính xác, có dẫn chứng từ hệ thống hoặc số liệu của nhóm; mỗi thành viên trả lời được về phần mình làm; thừa nhận thẳng những hạn chế thật.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x:numFmts>
  <x:fonts count="5">
    <x:font>
      <x:sz val="11"/>
      <x:name val="Carlito"/>
    </x:font>
    <x:font>
      <x:sz val="11"/>
      <x:color rgb="FF202B36"/>
      <x:name val="Arial"/>
    </x:font>
    <x:font>
      <x:b/>
      <x:sz val="16"/>
      <x:color rgb="FF202B36"/>
      <x:name val="Arial"/>
    </x:font>
    <x:font>
      <x:b/>
      <x:sz val="11"/>
      <x:color rgb="FF202B36"/>
      <x:name val="Arial"/>
    </x:font>
    <x:font>
      <x:b/>
      <x:sz val="11"/>
      <x:color rgb="FFFFFFFF"/>
      <x:name val="Arial"/>
    </x:font>
  </x:fonts>
  <x:fills count="5">
    <x:fill>
      <x:patternFill patternType="none"/>
    </x:fill>
    <x:fill>
      <x:patternFill patternType="gray125"/>
    </x:fill>
    <x:fill>
      <x:patternFill patternType="solid">
        <x:fgColor rgb="FFFFF2CC"/>
      </x:patternFill>
    </x:fill>
    <x:fill>
      <x:patternFill patternType="solid">
        <x:fgColor rgb="FFEAF0F6"/>
      </x:patternFill>
    </x:fill>
    <x:fill>
      <x:patternFill patternType="solid">
        <x:fgColor rgb="FF243D59"/>
      </x:patternFill>
    </x:fill>
  </x:fills>
  <x:borders count="1">
    <x:border>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200" fontId="3"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3" fillId="3"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1"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0" fontId="1" fillId="2"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c9b81d5f1a4531" /><Relationship Type="http://schemas.openxmlformats.org/officeDocument/2006/relationships/theme" Target="/xl/theme/theme1.xml" Id="R560a9ca300f24ece" /><Relationship Type="http://schemas.openxmlformats.org/officeDocument/2006/relationships/sharedStrings" Target="/xl/sharedStrings.xml" Id="Rfc7277de8ae0448a" /><Relationship Type="http://schemas.openxmlformats.org/officeDocument/2006/relationships/worksheet" Target="/xl/worksheets/sheet1.xml" Id="Rb1709624145c41a0" /><Relationship Type="http://schemas.openxmlformats.org/officeDocument/2006/relationships/worksheet" Target="/xl/worksheets/sheet2.xml" Id="R19f0cf4cb2d54d88" /><Relationship Type="http://schemas.openxmlformats.org/officeDocument/2006/relationships/worksheet" Target="/xl/worksheets/sheet3.xml" Id="R9e269e5e48b94965" /><Relationship Type="http://schemas.openxmlformats.org/officeDocument/2006/relationships/worksheet" Target="/xl/worksheets/sheet4.xml" Id="Rd14f63a16a62463d" /><Relationship Type="http://schemas.openxmlformats.org/officeDocument/2006/relationships/worksheet" Target="/xl/worksheets/sheet5.xml" Id="R76bac42879224d3d" /><Relationship Type="http://schemas.openxmlformats.org/officeDocument/2006/relationships/worksheet" Target="/xl/worksheets/sheet6.xml" Id="Red2a5bed4e954d3d" /><Relationship Type="http://schemas.openxmlformats.org/officeDocument/2006/relationships/worksheet" Target="/xl/worksheets/sheet7.xml" Id="R8004b796624f4fdd" /><Relationship Type="http://schemas.openxmlformats.org/officeDocument/2006/relationships/worksheet" Target="/xl/worksheets/sheet8.xml" Id="Rf9c576d8788e45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2ff4ab31e7c4158" /><Relationship Type="http://schemas.openxmlformats.org/officeDocument/2006/relationships/vmlDrawing" Target="/xl/drawings/vmldrawing.vml" Id="R90ea463bea2c409c" /></Relationships>
</file>

<file path=xl/worksheets/_rels/sheet2.xml.rels>&#65279;<?xml version="1.0" encoding="utf-8"?><Relationships xmlns="http://schemas.openxmlformats.org/package/2006/relationships"><Relationship Type="http://schemas.openxmlformats.org/officeDocument/2006/relationships/comments" Target="/xl/comments2.xml" Id="R9b2d960a69624ce2" /><Relationship Type="http://schemas.openxmlformats.org/officeDocument/2006/relationships/vmlDrawing" Target="/xl/drawings/vmldrawing2.vml" Id="R0c528521a9344efc" /></Relationships>
</file>

<file path=xl/worksheets/_rels/sheet3.xml.rels>&#65279;<?xml version="1.0" encoding="utf-8"?><Relationships xmlns="http://schemas.openxmlformats.org/package/2006/relationships"><Relationship Type="http://schemas.openxmlformats.org/officeDocument/2006/relationships/comments" Target="/xl/comments3.xml" Id="R3fce62037cd44fe3" /><Relationship Type="http://schemas.openxmlformats.org/officeDocument/2006/relationships/vmlDrawing" Target="/xl/drawings/vmldrawing3.vml" Id="Rbcfb604396af41be" /></Relationships>
</file>

<file path=xl/worksheets/_rels/sheet4.xml.rels>&#65279;<?xml version="1.0" encoding="utf-8"?><Relationships xmlns="http://schemas.openxmlformats.org/package/2006/relationships"><Relationship Type="http://schemas.openxmlformats.org/officeDocument/2006/relationships/comments" Target="/xl/comments4.xml" Id="R8166da2c3cbe4641" /><Relationship Type="http://schemas.openxmlformats.org/officeDocument/2006/relationships/vmlDrawing" Target="/xl/drawings/vmldrawing4.vml" Id="R2d948a6b715b4060" /></Relationships>
</file>

<file path=xl/worksheets/_rels/sheet5.xml.rels>&#65279;<?xml version="1.0" encoding="utf-8"?><Relationships xmlns="http://schemas.openxmlformats.org/package/2006/relationships"><Relationship Type="http://schemas.openxmlformats.org/officeDocument/2006/relationships/comments" Target="/xl/comments5.xml" Id="Rf40cf7bdf0d2491d" /><Relationship Type="http://schemas.openxmlformats.org/officeDocument/2006/relationships/vmlDrawing" Target="/xl/drawings/vmldrawing5.vml" Id="Rb261d1797c8e4c68" /></Relationships>
</file>

<file path=xl/worksheets/_rels/sheet6.xml.rels>&#65279;<?xml version="1.0" encoding="utf-8"?><Relationships xmlns="http://schemas.openxmlformats.org/package/2006/relationships"><Relationship Type="http://schemas.openxmlformats.org/officeDocument/2006/relationships/comments" Target="/xl/comments6.xml" Id="Rcba4b3f5c0554575" /><Relationship Type="http://schemas.openxmlformats.org/officeDocument/2006/relationships/vmlDrawing" Target="/xl/drawings/vmldrawing6.vml" Id="R9e65be9333e74a77" /></Relationships>
</file>

<file path=xl/worksheets/_rels/sheet7.xml.rels>&#65279;<?xml version="1.0" encoding="utf-8"?><Relationships xmlns="http://schemas.openxmlformats.org/package/2006/relationships"><Relationship Type="http://schemas.openxmlformats.org/officeDocument/2006/relationships/comments" Target="/xl/comments7.xml" Id="R9ace3f949c434ee0" /><Relationship Type="http://schemas.openxmlformats.org/officeDocument/2006/relationships/vmlDrawing" Target="/xl/drawings/vmldrawing7.vml" Id="Ra60e9bebc3bd46aa" /></Relationships>
</file>

<file path=xl/worksheets/_rels/sheet8.xml.rels>&#65279;<?xml version="1.0" encoding="utf-8"?><Relationships xmlns="http://schemas.openxmlformats.org/package/2006/relationships"><Relationship Type="http://schemas.openxmlformats.org/officeDocument/2006/relationships/comments" Target="/xl/comments8.xml" Id="R7e1679e4591647d4" /><Relationship Type="http://schemas.openxmlformats.org/officeDocument/2006/relationships/vmlDrawing" Target="/xl/drawings/vmldrawing8.vml" Id="R0e0153e0f638481f" /></Relationships>
</file>

<file path=xl/worksheets/sheet1.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G1</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90ea463bea2c409c"/>
</x:worksheet>
</file>

<file path=xl/worksheets/sheet2.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G2</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0c528521a9344efc"/>
</x:worksheet>
</file>

<file path=xl/worksheets/sheet3.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G3</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bcfb604396af41be"/>
</x:worksheet>
</file>

<file path=xl/worksheets/sheet4.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G4</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2d948a6b715b4060"/>
</x:worksheet>
</file>

<file path=xl/worksheets/sheet5.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G5</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b261d1797c8e4c68"/>
</x:worksheet>
</file>

<file path=xl/worksheets/sheet6.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G6</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9e65be9333e74a77"/>
</x:worksheet>
</file>

<file path=xl/worksheets/sheet7.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G7</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a60e9bebc3bd46aa"/>
</x:worksheet>
</file>

<file path=xl/worksheets/sheet8.xml><?xml version="1.0" encoding="utf-8"?>
<x:worksheet xmlns:x="http://schemas.openxmlformats.org/spreadsheetml/2006/main">
  <x:sheetPr>
    <x:tabColor rgb="FF243D59"/>
  </x:sheetPr>
  <x:sheetViews>
    <x:sheetView showGridLines="0" workbookViewId="0">
      <x:pane ySplit="11" topLeftCell="A12" activePane="bottomLeft" state="frozen"/>
    </x:sheetView>
  </x:sheetViews>
  <x:sheetFormatPr defaultRowHeight="15"/>
  <x:cols>
    <x:col min="1" max="1" width="7" hidden="0" customWidth="1"/>
    <x:col min="2" max="2" width="48" hidden="0" customWidth="1"/>
    <x:col min="3" max="3" width="12" hidden="0" customWidth="1"/>
    <x:col min="4" max="4" width="25" hidden="0" customWidth="1"/>
    <x:col min="5" max="5" width="12" hidden="0" customWidth="1"/>
    <x:col min="6" max="6" width="16" hidden="0" customWidth="1"/>
    <x:col min="7" max="7" width="48" hidden="0" customWidth="1"/>
  </x:cols>
  <x:sheetData>
    <x:row r="1" ht="24" customHeight="1">
      <x:c r="A1" s="2"/>
      <x:c r="B1" s="2"/>
      <x:c r="C1" s="2"/>
      <x:c r="D1" s="2"/>
      <x:c r="E1" s="2"/>
      <x:c r="F1" s="2"/>
      <x:c r="G1" s="2"/>
    </x:row>
    <x:row r="2" ht="32" customHeight="1">
      <x:c r="A2" s="2"/>
      <x:c r="B2" s="3" t="str">
        <x:v>CO5151 · Phiếu chấm D2 · G8</x:v>
      </x:c>
      <x:c r="C2" s="2"/>
      <x:c r="D2" s="2"/>
      <x:c r="E2" s="2"/>
      <x:c r="F2" s="2"/>
      <x:c r="G2" s="2"/>
    </x:row>
    <x:row r="3" ht="24" customHeight="1">
      <x:c r="A3" s="2"/>
      <x:c r="B3" s="2" t="str">
        <x:v>Ngày trình bày: 28/10/2026</x:v>
      </x:c>
      <x:c r="C3" s="2"/>
      <x:c r="D3" s="2" t="str">
        <x:v>Người chấm:</x:v>
      </x:c>
      <x:c r="E3" s="2"/>
      <x:c r="F3" s="2"/>
      <x:c r="G3" s="4"/>
    </x:row>
    <x:row r="4" ht="24" customHeight="1">
      <x:c r="A4" s="2"/>
      <x:c r="B4" s="2" t="str">
        <x:v>Đề tài:</x:v>
      </x:c>
      <x:c r="C4" s="2"/>
      <x:c r="D4" s="4"/>
      <x:c r="E4" s="4"/>
      <x:c r="F4" s="4"/>
      <x:c r="G4" s="4"/>
    </x:row>
    <x:row r="5" ht="24" customHeight="1">
      <x:c r="A5" s="2"/>
      <x:c r="B5" s="6" t="str">
        <x:v>Điểm D2 (thang 10)</x:v>
      </x:c>
      <x:c r="C5" s="6"/>
      <x:c r="D5" s="6"/>
      <x:c r="E5" s="6"/>
      <x:c r="F5" s="9" t="str">
        <x:f>IF(COUNT(E12:E20)=8,SUM(F12:F20),"")</x:f>
      </x:c>
      <x:c r="G5" s="6"/>
    </x:row>
    <x:row r="6" ht="24" customHeight="1">
      <x:c r="A6" s="2"/>
      <x:c r="B6" s="2" t="str">
        <x:v>Báo cáo (tối đa 5 điểm)</x:v>
      </x:c>
      <x:c r="C6" s="2"/>
      <x:c r="D6" s="2"/>
      <x:c r="E6" s="2"/>
      <x:c r="F6" s="10" t="str">
        <x:f>IF(COUNT(E12:E16)=5,SUM(F12:F16),"")</x:f>
      </x:c>
      <x:c r="G6" s="2"/>
    </x:row>
    <x:row r="7" ht="24" customHeight="1">
      <x:c r="A7" s="2"/>
      <x:c r="B7" s="2" t="str">
        <x:v>Trình bày, demo, hỏi đáp (tối đa 5 điểm)</x:v>
      </x:c>
      <x:c r="C7" s="2"/>
      <x:c r="D7" s="2"/>
      <x:c r="E7" s="2"/>
      <x:c r="F7" s="10" t="str">
        <x:f>IF(COUNT(E18:E20)=3,SUM(F18:F20),"")</x:f>
      </x:c>
      <x:c r="G7" s="2"/>
    </x:row>
    <x:row r="8" ht="24" customHeight="1">
      <x:c r="A8" s="2"/>
      <x:c r="B8" s="2" t="str">
        <x:v>Tiến độ chấm</x:v>
      </x:c>
      <x:c r="C8" s="2"/>
      <x:c r="D8" s="2"/>
      <x:c r="E8" s="2"/>
      <x:c r="F8" s="11" t="str">
        <x:f>COUNT(E12:E20)&amp;"/8 tiêu chí"</x:f>
        <x:v>0/8 tiêu chí</x:v>
      </x:c>
      <x:c r="G8" s="2"/>
    </x:row>
    <x:row r="9" ht="24" customHeight="1">
      <x:c r="A9" s="2"/>
      <x:c r="B9" s="2" t="str">
        <x:v>Tổng chỉ hiện khi đủ tám tiêu chí.</x:v>
      </x:c>
      <x:c r="C9" s="2"/>
      <x:c r="D9" s="2"/>
      <x:c r="E9" s="2"/>
      <x:c r="F9" s="2"/>
      <x:c r="G9" s="2"/>
    </x:row>
    <x:row r="10" ht="24" customHeight="1">
      <x:c r="A10" s="6"/>
      <x:c r="B10" s="6" t="str">
        <x:v>A. Báo cáo (50%)</x:v>
      </x:c>
      <x:c r="C10" s="6"/>
      <x:c r="D10" s="6"/>
      <x:c r="E10" s="6"/>
      <x:c r="F10" s="6"/>
      <x:c r="G10" s="6"/>
    </x:row>
    <x:row r="11" ht="36" customHeight="1">
      <x:c r="A11" s="15" t="str">
        <x:v>Mã</x:v>
      </x:c>
      <x:c r="B11" s="15" t="str">
        <x:v>Tiêu chí</x:v>
      </x:c>
      <x:c r="C11" s="15" t="str">
        <x:v>Trọng số D2</x:v>
      </x:c>
      <x:c r="D11" s="15" t="str">
        <x:v>Chọn điểm / khung</x:v>
      </x:c>
      <x:c r="E11" s="15" t="str">
        <x:v>Điểm /10</x:v>
      </x:c>
      <x:c r="F11" s="15" t="str">
        <x:v>Điểm quy đổi</x:v>
      </x:c>
      <x:c r="G11" s="15" t="str">
        <x:v>Nhận xét và bằng chứng</x:v>
      </x:c>
    </x:row>
    <x:row r="12" ht="54" customHeight="1">
      <x:c r="A12" s="2" t="str">
        <x:v>A1</x:v>
      </x:c>
      <x:c r="B12" s="16" t="str">
        <x:v>Kiến trúc, công cụ, bộ nhớ và nguồn tri thức</x:v>
      </x:c>
      <x:c r="C12" s="20" t="n">
        <x:v>0.15</x:v>
      </x:c>
      <x:c r="D12" s="21"/>
      <x:c r="E12" s="22" t="str">
        <x:f>IF(D12="","",VALUE(LEFT(D12,2)))</x:f>
      </x:c>
      <x:c r="F12" s="10" t="str">
        <x:f>IF(E12="","",C12*E12)</x:f>
      </x:c>
      <x:c r="G12" s="18"/>
    </x:row>
    <x:row r="13" ht="54" customHeight="1">
      <x:c r="A13" s="2" t="str">
        <x:v>A2</x:v>
      </x:c>
      <x:c r="B13" s="16" t="str">
        <x:v>Bộ đánh giá và số liệu đầu tiên</x:v>
      </x:c>
      <x:c r="C13" s="20" t="n">
        <x:v>0.15</x:v>
      </x:c>
      <x:c r="D13" s="21"/>
      <x:c r="E13" s="22" t="str">
        <x:f>IF(D13="","",VALUE(LEFT(D13,2)))</x:f>
      </x:c>
      <x:c r="F13" s="10" t="str">
        <x:f>IF(E13="","",C13*E13)</x:f>
      </x:c>
      <x:c r="G13" s="18"/>
    </x:row>
    <x:row r="14" ht="54" customHeight="1">
      <x:c r="A14" s="2" t="str">
        <x:v>A3</x:v>
      </x:c>
      <x:c r="B14" s="16" t="str">
        <x:v>Threat model</x:v>
      </x:c>
      <x:c r="C14" s="20" t="n">
        <x:v>0.1</x:v>
      </x:c>
      <x:c r="D14" s="21"/>
      <x:c r="E14" s="22" t="str">
        <x:f>IF(D14="","",VALUE(LEFT(D14,2)))</x:f>
      </x:c>
      <x:c r="F14" s="10" t="str">
        <x:f>IF(E14="","",C14*E14)</x:f>
      </x:c>
      <x:c r="G14" s="18"/>
    </x:row>
    <x:row r="15" ht="54" customHeight="1">
      <x:c r="A15" s="2" t="str">
        <x:v>A4</x:v>
      </x:c>
      <x:c r="B15" s="16" t="str">
        <x:v>Thay đổi, kế hoạch và rủi ro</x:v>
      </x:c>
      <x:c r="C15" s="20" t="n">
        <x:v>0.05</x:v>
      </x:c>
      <x:c r="D15" s="21"/>
      <x:c r="E15" s="22" t="str">
        <x:f>IF(D15="","",VALUE(LEFT(D15,2)))</x:f>
      </x:c>
      <x:c r="F15" s="10" t="str">
        <x:f>IF(E15="","",C15*E15)</x:f>
      </x:c>
      <x:c r="G15" s="18"/>
    </x:row>
    <x:row r="16" ht="54" customHeight="1">
      <x:c r="A16" s="2" t="str">
        <x:v>A5</x:v>
      </x:c>
      <x:c r="B16" s="16" t="str">
        <x:v>Chất lượng báo cáo</x:v>
      </x:c>
      <x:c r="C16" s="20" t="n">
        <x:v>0.05</x:v>
      </x:c>
      <x:c r="D16" s="21"/>
      <x:c r="E16" s="22" t="str">
        <x:f>IF(D16="","",VALUE(LEFT(D16,2)))</x:f>
      </x:c>
      <x:c r="F16" s="10" t="str">
        <x:f>IF(E16="","",C16*E16)</x:f>
      </x:c>
      <x:c r="G16" s="18"/>
    </x:row>
    <x:row r="17" ht="24" customHeight="1">
      <x:c r="A17" s="6"/>
      <x:c r="B17" s="6" t="str">
        <x:v>B. Trình bày, live demo và hỏi đáp (50%)</x:v>
      </x:c>
      <x:c r="C17" s="6"/>
      <x:c r="D17" s="6"/>
      <x:c r="E17" s="6"/>
      <x:c r="F17" s="6"/>
      <x:c r="G17" s="6"/>
    </x:row>
    <x:row r="18" ht="54" customHeight="1">
      <x:c r="A18" s="2" t="str">
        <x:v>B1</x:v>
      </x:c>
      <x:c r="B18" s="16" t="str">
        <x:v>Live demo</x:v>
      </x:c>
      <x:c r="C18" s="20" t="n">
        <x:v>0.2</x:v>
      </x:c>
      <x:c r="D18" s="21"/>
      <x:c r="E18" s="22" t="str">
        <x:f>IF(D18="","",VALUE(LEFT(D18,2)))</x:f>
      </x:c>
      <x:c r="F18" s="10" t="str">
        <x:f>IF(E18="","",C18*E18)</x:f>
      </x:c>
      <x:c r="G18" s="18"/>
    </x:row>
    <x:row r="19" ht="54" customHeight="1">
      <x:c r="A19" s="2" t="str">
        <x:v>B2</x:v>
      </x:c>
      <x:c r="B19" s="16" t="str">
        <x:v>Trình bày</x:v>
      </x:c>
      <x:c r="C19" s="20" t="n">
        <x:v>0.15</x:v>
      </x:c>
      <x:c r="D19" s="21"/>
      <x:c r="E19" s="22" t="str">
        <x:f>IF(D19="","",VALUE(LEFT(D19,2)))</x:f>
      </x:c>
      <x:c r="F19" s="10" t="str">
        <x:f>IF(E19="","",C19*E19)</x:f>
      </x:c>
      <x:c r="G19" s="18"/>
    </x:row>
    <x:row r="20" ht="54" customHeight="1">
      <x:c r="A20" s="2" t="str">
        <x:v>B3</x:v>
      </x:c>
      <x:c r="B20" s="16" t="str">
        <x:v>Hỏi đáp</x:v>
      </x:c>
      <x:c r="C20" s="20" t="n">
        <x:v>0.15</x:v>
      </x:c>
      <x:c r="D20" s="21"/>
      <x:c r="E20" s="22" t="str">
        <x:f>IF(D20="","",VALUE(LEFT(D20,2)))</x:f>
      </x:c>
      <x:c r="F20" s="10" t="str">
        <x:f>IF(E20="","",C20*E20)</x:f>
      </x:c>
      <x:c r="G20" s="18"/>
    </x:row>
    <x:row r="21" ht="24" customHeight="1">
      <x:c r="A21" s="2"/>
      <x:c r="B21" s="2"/>
      <x:c r="C21" s="2"/>
      <x:c r="D21" s="2"/>
      <x:c r="E21" s="2"/>
      <x:c r="F21" s="2"/>
      <x:c r="G21" s="2"/>
    </x:row>
    <x:row r="22" ht="24" customHeight="1">
      <x:c r="A22" s="2"/>
      <x:c r="B22" s="2" t="str">
        <x:v>Ô vàng: chọn điểm, nhập thông tin hoặc nhận xét.</x:v>
      </x:c>
      <x:c r="C22" s="2"/>
      <x:c r="D22" s="2"/>
      <x:c r="E22" s="2"/>
      <x:c r="F22" s="2"/>
      <x:c r="G22" s="2"/>
    </x:row>
    <x:row r="23" ht="24" customHeight="1">
      <x:c r="A23" s="2"/>
      <x:c r="B23" s="2" t="str">
        <x:v>Mỗi tiêu chí chọn một điểm 0–10. Di chuột vào ô tên tiêu chí để xem mô tả rubric.</x:v>
      </x:c>
      <x:c r="C23" s="2"/>
      <x:c r="D23" s="2"/>
      <x:c r="E23" s="2"/>
      <x:c r="F23" s="2"/>
      <x:c r="G23" s="2"/>
    </x:row>
    <x:row r="24" ht="24" customHeight="1">
      <x:c r="A24" s="2"/>
      <x:c r="B24" s="2" t="str">
        <x:v>D2 = 30% điểm đồ án = 15% điểm tổng kết môn.</x:v>
      </x:c>
      <x:c r="C24" s="2"/>
      <x:c r="D24" s="2"/>
      <x:c r="E24" s="2"/>
      <x:c r="F24" s="2"/>
      <x:c r="G24" s="2"/>
    </x:row>
    <x:row r="25" ht="24" customHeight="1">
      <x:c r="A25" s="2"/>
      <x:c r="B25" s="2" t="str">
        <x:v>15 phút/nhóm: khoảng 10 phút trình bày có live demo + 5 phút hỏi đáp.</x:v>
      </x:c>
      <x:c r="C25" s="2"/>
      <x:c r="D25" s="2"/>
      <x:c r="E25" s="2"/>
      <x:c r="F25" s="2"/>
      <x:c r="G25" s="2"/>
    </x:row>
    <x:row r="26" ht="24" customHeight="1">
      <x:c r="A26" s="2"/>
      <x:c r="B26" s="2"/>
      <x:c r="C26" s="2"/>
      <x:c r="D26" s="2"/>
      <x:c r="E26" s="2"/>
      <x:c r="F26" s="2"/>
      <x:c r="G26" s="2"/>
    </x:row>
    <x:row r="27" ht="24" customHeight="1">
      <x:c r="A27" s="2"/>
      <x:c r="B27" s="2" t="str">
        <x:v>Nhận xét chung / việc cần cải thiện:</x:v>
      </x:c>
      <x:c r="C27" s="2"/>
      <x:c r="D27" s="2"/>
      <x:c r="E27" s="2"/>
      <x:c r="F27" s="2"/>
      <x:c r="G27" s="2"/>
    </x:row>
    <x:row r="28" ht="24" customHeight="1">
      <x:c r="A28" s="2"/>
      <x:c r="B28" s="4"/>
      <x:c r="C28" s="4"/>
      <x:c r="D28" s="4"/>
      <x:c r="E28" s="4"/>
      <x:c r="F28" s="4"/>
      <x:c r="G28" s="4"/>
    </x:row>
    <x:row r="29" ht="24" customHeight="1">
      <x:c r="A29" s="2"/>
      <x:c r="B29" s="4"/>
      <x:c r="C29" s="4"/>
      <x:c r="D29" s="4"/>
      <x:c r="E29" s="4"/>
      <x:c r="F29" s="4"/>
      <x:c r="G29" s="4"/>
    </x:row>
    <x:row r="30" ht="24" customHeight="1">
      <x:c r="A30" s="2"/>
      <x:c r="B30" s="2"/>
      <x:c r="C30" s="2"/>
      <x:c r="D30" s="2"/>
      <x:c r="E30" s="2"/>
      <x:c r="F30" s="2"/>
      <x:c r="G30" s="2"/>
    </x:row>
    <x:row r="31" ht="24" customHeight="1">
      <x:c r="A31" s="6"/>
      <x:c r="B31" s="6" t="str">
        <x:v>Khung điểm và hướng dẫn</x:v>
      </x:c>
      <x:c r="C31" s="6"/>
      <x:c r="D31" s="6"/>
      <x:c r="E31" s="6"/>
      <x:c r="F31" s="6"/>
      <x:c r="G31" s="6"/>
    </x:row>
    <x:row r="32" ht="24" customHeight="1">
      <x:c r="A32" s="2"/>
      <x:c r="B32" s="2" t="str">
        <x:v>Chấm theo mức độ hoàn thành so với proposal và chất lượng bằng chứng.</x:v>
      </x:c>
      <x:c r="C32" s="2"/>
      <x:c r="D32" s="2"/>
      <x:c r="E32" s="2"/>
      <x:c r="F32" s="2"/>
      <x:c r="G32" s="2"/>
    </x:row>
    <x:row r="33" ht="24" customHeight="1">
      <x:c r="A33" s="2"/>
      <x:c r="B33" s="15" t="str">
        <x:v>Khung</x:v>
      </x:c>
      <x:c r="C33" s="15" t="str">
        <x:v>Điểm</x:v>
      </x:c>
      <x:c r="D33" s="15"/>
      <x:c r="E33" s="15"/>
      <x:c r="F33" s="15"/>
      <x:c r="G33" s="15" t="str">
        <x:v>Ý nghĩa đối với D2</x:v>
      </x:c>
    </x:row>
    <x:row r="34" ht="54" customHeight="1">
      <x:c r="A34" s="2"/>
      <x:c r="B34" s="2" t="str">
        <x:v>Rất tốt</x:v>
      </x:c>
      <x:c r="C34" s="2" t="str">
        <x:v>9–10</x:v>
      </x:c>
      <x:c r="D34" s="2"/>
      <x:c r="E34" s="2"/>
      <x:c r="F34" s="2"/>
      <x:c r="G34" s="16" t="str">
        <x:v>Đã cài đặt, đã demo và đã đo; bằng chứng có trong báo cáo và thấy được trong demo.</x:v>
      </x:c>
    </x:row>
    <x:row r="35" ht="54" customHeight="1">
      <x:c r="A35" s="2"/>
      <x:c r="B35" s="2" t="str">
        <x:v>Tốt</x:v>
      </x:c>
      <x:c r="C35" s="2" t="str">
        <x:v>7–8</x:v>
      </x:c>
      <x:c r="D35" s="2"/>
      <x:c r="E35" s="2"/>
      <x:c r="F35" s="2"/>
      <x:c r="G35" s="16" t="str">
        <x:v>Đã cài đặt và chạy được, còn thiếu sót nhỏ về bằng chứng hoặc giải thích.</x:v>
      </x:c>
    </x:row>
    <x:row r="36" ht="54" customHeight="1">
      <x:c r="A36" s="2"/>
      <x:c r="B36" s="2" t="str">
        <x:v>Khá</x:v>
      </x:c>
      <x:c r="C36" s="2" t="str">
        <x:v>5–6</x:v>
      </x:c>
      <x:c r="D36" s="2"/>
      <x:c r="E36" s="2"/>
      <x:c r="F36" s="2"/>
      <x:c r="G36" s="16" t="str">
        <x:v>Cài đặt một phần; một số yêu cầu mới được mô tả, chưa chạy hoặc chưa đo.</x:v>
      </x:c>
    </x:row>
    <x:row r="37" ht="54" customHeight="1">
      <x:c r="A37" s="2"/>
      <x:c r="B37" s="2" t="str">
        <x:v>Trung bình</x:v>
      </x:c>
      <x:c r="C37" s="2" t="str">
        <x:v>3–4</x:v>
      </x:c>
      <x:c r="D37" s="2"/>
      <x:c r="E37" s="2"/>
      <x:c r="F37" s="2"/>
      <x:c r="G37" s="16" t="str">
        <x:v>Chủ yếu là kế hoạch; ít thứ chạy được, hoặc có số liệu nhưng không có cách chấm rõ ràng.</x:v>
      </x:c>
    </x:row>
    <x:row r="38" ht="54" customHeight="1">
      <x:c r="A38" s="2"/>
      <x:c r="B38" s="2" t="str">
        <x:v>Không tốt</x:v>
      </x:c>
      <x:c r="C38" s="2" t="str">
        <x:v>0–2</x:v>
      </x:c>
      <x:c r="D38" s="2"/>
      <x:c r="E38" s="2"/>
      <x:c r="F38" s="2"/>
      <x:c r="G38" s="16" t="str">
        <x:v>Thiếu, hoặc mâu thuẫn với demo hay với repository.</x:v>
      </x:c>
    </x:row>
    <x:row r="39" ht="24" customHeight="1">
      <x:c r="A39" s="2"/>
      <x:c r="B39" s="2"/>
      <x:c r="C39" s="2"/>
      <x:c r="D39" s="2"/>
      <x:c r="E39" s="2"/>
      <x:c r="F39" s="2"/>
      <x:c r="G39" s="2"/>
    </x:row>
    <x:row r="40" ht="72" customHeight="1">
      <x:c r="A40" s="2"/>
      <x:c r="B40" s="2" t="str">
        <x:v>Threat model</x:v>
      </x:c>
      <x:c r="C40" s="2"/>
      <x:c r="D40" s="2"/>
      <x:c r="E40" s="2"/>
      <x:c r="F40" s="2"/>
      <x:c r="G40" s="16" t="str">
        <x:v>D2 chưa yêu cầu chạy injection tests. Cần threat model cụ thể và biện pháp giảm thiểu dự kiến cho từng điểm vào.</x:v>
      </x:c>
    </x:row>
    <x:row r="41" ht="24" customHeight="1">
      <x:c r="A41" s="2"/>
      <x:c r="B41" s="2"/>
      <x:c r="C41" s="2"/>
      <x:c r="D41" s="2"/>
      <x:c r="E41" s="2"/>
      <x:c r="F41" s="2"/>
      <x:c r="G41" s="2"/>
    </x:row>
    <x:row r="42" ht="24" customHeight="1">
      <x:c r="A42" s="2"/>
      <x:c r="B42" s="2" t="str">
        <x:v>Điểm D2 = tổng (điểm từng tiêu chí × trọng số). Báo cáo 50%; trình bày, demo và hỏi đáp 50%.</x:v>
      </x:c>
      <x:c r="C42" s="2"/>
      <x:c r="D42" s="2"/>
      <x:c r="E42" s="2"/>
      <x:c r="F42" s="2"/>
      <x:c r="G42" s="2"/>
    </x:row>
    <x:row r="43" ht="24" customHeight="1">
      <x:c r="A43" s="2"/>
      <x:c r="B43" s="2" t="str">
        <x:v>Nguồn: Interim Report (D2), mục “Rubric chấm điểm” (interim.tex).</x:v>
      </x:c>
      <x:c r="C43" s="2"/>
      <x:c r="D43" s="2"/>
      <x:c r="E43" s="2"/>
      <x:c r="F43" s="2"/>
      <x:c r="G43" s="2"/>
    </x:row>
  </x:sheetData>
  <x:dataValidations count="8">
    <x:dataValidation type="list" sqref="D12">
      <x:formula1>"10 | Rất tốt,9 | Rất tốt,8 | Tốt,7 | Tốt,6 | Khá,5 | Khá,4 | Trung bình,3 | Trung bình,2 | Không tốt,1 | Không tốt,0 | Không tốt"</x:formula1>
    </x:dataValidation>
    <x:dataValidation type="list" sqref="D13">
      <x:formula1>"10 | Rất tốt,9 | Rất tốt,8 | Tốt,7 | Tốt,6 | Khá,5 | Khá,4 | Trung bình,3 | Trung bình,2 | Không tốt,1 | Không tốt,0 | Không tốt"</x:formula1>
    </x:dataValidation>
    <x:dataValidation type="list" sqref="D14">
      <x:formula1>"10 | Rất tốt,9 | Rất tốt,8 | Tốt,7 | Tốt,6 | Khá,5 | Khá,4 | Trung bình,3 | Trung bình,2 | Không tốt,1 | Không tốt,0 | Không tốt"</x:formula1>
    </x:dataValidation>
    <x:dataValidation type="list" sqref="D15">
      <x:formula1>"10 | Rất tốt,9 | Rất tốt,8 | Tốt,7 | Tốt,6 | Khá,5 | Khá,4 | Trung bình,3 | Trung bình,2 | Không tốt,1 | Không tốt,0 | Không tốt"</x:formula1>
    </x:dataValidation>
    <x:dataValidation type="list" sqref="D16">
      <x:formula1>"10 | Rất tốt,9 | Rất tốt,8 | Tốt,7 | Tốt,6 | Khá,5 | Khá,4 | Trung bình,3 | Trung bình,2 | Không tốt,1 | Không tốt,0 | Không tốt"</x:formula1>
    </x:dataValidation>
    <x:dataValidation type="list" sqref="D18">
      <x:formula1>"10 | Rất tốt,9 | Rất tốt,8 | Tốt,7 | Tốt,6 | Khá,5 | Khá,4 | Trung bình,3 | Trung bình,2 | Không tốt,1 | Không tốt,0 | Không tốt"</x:formula1>
    </x:dataValidation>
    <x:dataValidation type="list" sqref="D19">
      <x:formula1>"10 | Rất tốt,9 | Rất tốt,8 | Tốt,7 | Tốt,6 | Khá,5 | Khá,4 | Trung bình,3 | Trung bình,2 | Không tốt,1 | Không tốt,0 | Không tốt"</x:formula1>
    </x:dataValidation>
    <x:dataValidation type="list" sqref="D20">
      <x:formula1>"10 | Rất tốt,9 | Rất tốt,8 | Tốt,7 | Tốt,6 | Khá,5 | Khá,4 | Trung bình,3 | Trung bình,2 | Không tốt,1 | Không tốt,0 | Không tốt"</x:formula1>
    </x:dataValidation>
  </x:dataValidations>
  <x:pageMargins left="0.7" right="0.7" top="0.75" bottom="0.75" header="0.3" footer="0.3"/>
  <x:legacyDrawing xmlns:r="http://schemas.openxmlformats.org/officeDocument/2006/relationships" r:id="R0e0153e0f638481f"/>
</x:worksheet>
</file>